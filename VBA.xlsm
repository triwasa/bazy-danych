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64011"/>
  <mc:AlternateContent xmlns:mc="http://schemas.openxmlformats.org/markup-compatibility/2006">
    <mc:Choice Requires="x15">
      <x15ac:absPath xmlns:x15ac="http://schemas.microsoft.com/office/spreadsheetml/2010/11/ac" url="j:\Desktop\"/>
    </mc:Choice>
  </mc:AlternateContent>
  <bookViews>
    <workbookView xWindow="0" yWindow="0" windowWidth="19200" windowHeight="7050"/>
  </bookViews>
  <sheets>
    <sheet name="ProstyPrzyklad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" l="1"/>
  <c r="B12" i="1"/>
  <c r="B13" i="1"/>
  <c r="C3" i="1"/>
  <c r="C4" i="1" s="1"/>
  <c r="B7" i="1" s="1"/>
  <c r="B6" i="1"/>
</calcChain>
</file>

<file path=xl/sharedStrings.xml><?xml version="1.0" encoding="utf-8"?>
<sst xmlns="http://schemas.openxmlformats.org/spreadsheetml/2006/main" count="28" uniqueCount="27">
  <si>
    <t>Podaj region:</t>
  </si>
  <si>
    <t>Podaj rok:</t>
  </si>
  <si>
    <t>Wschod</t>
  </si>
  <si>
    <t>Dla podanego regionu oraz podanego roku zwraca sumaryczną ilość sprzedanych produktów oraz nazwę najczęściej sprzedawanego produktu</t>
  </si>
  <si>
    <t>Ilość produktów razem:</t>
  </si>
  <si>
    <t>Najczęściej sprzedawany:</t>
  </si>
  <si>
    <t>Dla podanego klienta zwraca jego planowaną oraz faktyczną wartość sprzedaży (suma na obrocie, dla 2007 r.)</t>
  </si>
  <si>
    <t>Podaj klienta</t>
  </si>
  <si>
    <t>NEONET</t>
  </si>
  <si>
    <t>Sprzedaż planowana:</t>
  </si>
  <si>
    <t>Sprzedaż faktyczna:</t>
  </si>
  <si>
    <t>Dla podanych parametrów opisujących samochód klasyfikuje go do jednej z czterech klas Acc_rate</t>
  </si>
  <si>
    <t>Buying</t>
  </si>
  <si>
    <t>Maint</t>
  </si>
  <si>
    <t>Person</t>
  </si>
  <si>
    <t>Safety</t>
  </si>
  <si>
    <t>Doors</t>
  </si>
  <si>
    <t>Lug_boot</t>
  </si>
  <si>
    <t>Wypadkowość(acc_rate):</t>
  </si>
  <si>
    <t>(v-high,high,med.,low)</t>
  </si>
  <si>
    <t>(2,4,5)</t>
  </si>
  <si>
    <t>(low,med.,low)</t>
  </si>
  <si>
    <t>(2,3,4,5)</t>
  </si>
  <si>
    <t>(small,med.,big)</t>
  </si>
  <si>
    <t>(unacc,acc,good,v-good)</t>
  </si>
  <si>
    <t>high</t>
  </si>
  <si>
    <t>Z zapytaniem DMX miałem problem,ponieważ nie mogłem zobaczyć przykładu z powodu braku dostępu do bazy analitycznej prof. Nawrockiego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</si>
</sst>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11"/>
      <color rgb="FF3F3F76"/>
      <name val="Calibri"/>
      <family val="2"/>
      <charset val="238"/>
      <scheme val="minor"/>
    </font>
    <font>
      <sz val="11"/>
      <color theme="4" tint="0.59999389629810485"/>
      <name val="Calibri"/>
      <family val="2"/>
      <charset val="23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3" fillId="4" borderId="1" applyNumberFormat="0" applyAlignment="0" applyProtection="0"/>
    <xf numFmtId="0" fontId="4" fillId="4" borderId="2" applyNumberFormat="0" applyAlignment="0" applyProtection="0"/>
  </cellStyleXfs>
  <cellXfs count="15">
    <xf numFmtId="0" fontId="0" fillId="0" borderId="0" xfId="0"/>
    <xf numFmtId="0" fontId="0" fillId="0" borderId="0" xfId="0" applyAlignment="1">
      <alignment vertical="center"/>
    </xf>
    <xf numFmtId="0" fontId="3" fillId="4" borderId="1" xfId="3"/>
    <xf numFmtId="0" fontId="2" fillId="3" borderId="1" xfId="2" applyAlignment="1">
      <alignment horizontal="center"/>
    </xf>
    <xf numFmtId="0" fontId="1" fillId="2" borderId="0" xfId="1"/>
    <xf numFmtId="0" fontId="3" fillId="4" borderId="0" xfId="3" applyBorder="1"/>
    <xf numFmtId="0" fontId="1" fillId="2" borderId="3" xfId="1" applyBorder="1"/>
    <xf numFmtId="0" fontId="5" fillId="3" borderId="1" xfId="2" applyFont="1" applyAlignment="1">
      <alignment horizontal="center"/>
    </xf>
    <xf numFmtId="0" fontId="0" fillId="5" borderId="0" xfId="0" applyFill="1"/>
    <xf numFmtId="0" fontId="6" fillId="5" borderId="0" xfId="0" applyFont="1" applyFill="1"/>
    <xf numFmtId="0" fontId="1" fillId="2" borderId="4" xfId="1" applyBorder="1" applyAlignment="1"/>
    <xf numFmtId="0" fontId="1" fillId="2" borderId="5" xfId="1" applyBorder="1" applyAlignment="1"/>
    <xf numFmtId="0" fontId="1" fillId="2" borderId="6" xfId="1" applyBorder="1" applyAlignment="1"/>
    <xf numFmtId="0" fontId="1" fillId="2" borderId="0" xfId="1" applyBorder="1"/>
    <xf numFmtId="0" fontId="4" fillId="4" borderId="2" xfId="4"/>
  </cellXfs>
  <cellStyles count="5">
    <cellStyle name="Calculation" xfId="3" builtinId="22"/>
    <cellStyle name="Input" xfId="2" builtinId="20"/>
    <cellStyle name="Neutral" xfId="1" builtinId="28"/>
    <cellStyle name="Normal" xfId="0" builtinId="0"/>
    <cellStyle name="Output" xfId="4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:M21"/>
  <sheetViews>
    <sheetView showGridLines="0" tabSelected="1" workbookViewId="0">
      <selection activeCell="K22" sqref="K22"/>
    </sheetView>
  </sheetViews>
  <sheetFormatPr defaultRowHeight="15" x14ac:dyDescent="0.25"/>
  <cols>
    <col min="1" max="1" width="32.140625" customWidth="1"/>
    <col min="2" max="2" width="28.140625" customWidth="1"/>
    <col min="3" max="3" width="22" customWidth="1"/>
  </cols>
  <sheetData>
    <row r="1" spans="1:13" x14ac:dyDescent="0.25">
      <c r="A1" s="4" t="s">
        <v>3</v>
      </c>
      <c r="B1" s="4"/>
      <c r="C1" s="4"/>
      <c r="D1" s="4"/>
      <c r="E1" s="4"/>
      <c r="F1" s="4"/>
      <c r="G1" s="4"/>
      <c r="H1" s="4"/>
      <c r="I1" s="4"/>
      <c r="J1" s="4"/>
      <c r="K1" s="4"/>
    </row>
    <row r="2" spans="1:13" ht="3.75" hidden="1" customHeight="1" x14ac:dyDescent="0.25"/>
    <row r="3" spans="1:13" x14ac:dyDescent="0.25">
      <c r="A3" s="2" t="s">
        <v>1</v>
      </c>
      <c r="B3" s="7" t="s">
        <v>2</v>
      </c>
      <c r="C3" s="9">
        <f>VBA_SQL(B3)</f>
        <v>6</v>
      </c>
      <c r="D3" s="8"/>
      <c r="E3" s="8"/>
      <c r="F3" s="8"/>
      <c r="G3" s="8"/>
      <c r="H3" s="8"/>
      <c r="I3" s="8"/>
      <c r="J3" s="8"/>
      <c r="K3" s="8"/>
    </row>
    <row r="4" spans="1:13" s="1" customFormat="1" ht="15.75" customHeight="1" x14ac:dyDescent="0.25">
      <c r="A4" s="2" t="s">
        <v>0</v>
      </c>
      <c r="B4" s="7">
        <v>2005</v>
      </c>
      <c r="C4" s="9">
        <f>MySQLFunc2(B4,C3)</f>
        <v>24</v>
      </c>
      <c r="D4" s="8"/>
      <c r="E4" s="8"/>
      <c r="F4" s="8"/>
      <c r="G4" s="8"/>
      <c r="H4" s="8"/>
      <c r="I4" s="8"/>
      <c r="J4" s="8"/>
      <c r="K4" s="8"/>
      <c r="L4"/>
      <c r="M4"/>
    </row>
    <row r="5" spans="1:13" s="1" customFormat="1" ht="2.25" hidden="1" customHeight="1" x14ac:dyDescent="0.25">
      <c r="A5"/>
      <c r="B5"/>
      <c r="C5" s="8"/>
      <c r="D5" s="8"/>
      <c r="E5" s="8"/>
      <c r="F5" s="8"/>
      <c r="G5" s="8"/>
      <c r="H5" s="8"/>
      <c r="I5" s="8"/>
      <c r="J5" s="8"/>
      <c r="K5" s="8"/>
      <c r="L5"/>
      <c r="M5"/>
    </row>
    <row r="6" spans="1:13" x14ac:dyDescent="0.25">
      <c r="A6" s="2" t="s">
        <v>4</v>
      </c>
      <c r="B6" s="3">
        <f>MySQLFunc(B4,C3)</f>
        <v>71023</v>
      </c>
      <c r="C6" s="8"/>
      <c r="D6" s="8"/>
      <c r="E6" s="8"/>
      <c r="F6" s="8"/>
      <c r="G6" s="8"/>
      <c r="H6" s="8"/>
      <c r="I6" s="8"/>
      <c r="J6" s="8"/>
      <c r="K6" s="8"/>
    </row>
    <row r="7" spans="1:13" x14ac:dyDescent="0.25">
      <c r="A7" s="2" t="s">
        <v>5</v>
      </c>
      <c r="B7" s="3" t="str">
        <f>MySQLFunc3(C4)</f>
        <v>kuchnie</v>
      </c>
      <c r="C7" s="8"/>
      <c r="D7" s="8"/>
      <c r="E7" s="8"/>
      <c r="F7" s="8"/>
      <c r="G7" s="8"/>
      <c r="H7" s="8"/>
      <c r="I7" s="8"/>
      <c r="J7" s="8"/>
      <c r="K7" s="8"/>
    </row>
    <row r="8" spans="1:13" x14ac:dyDescent="0.25">
      <c r="A8" s="8"/>
      <c r="B8" s="8"/>
      <c r="C8" s="8"/>
      <c r="D8" s="8"/>
      <c r="E8" s="8"/>
      <c r="F8" s="8"/>
      <c r="G8" s="8"/>
      <c r="H8" s="8"/>
      <c r="I8" s="8"/>
      <c r="J8" s="8"/>
      <c r="K8" s="8"/>
    </row>
    <row r="9" spans="1:13" x14ac:dyDescent="0.25">
      <c r="A9" s="8"/>
      <c r="B9" s="8"/>
      <c r="C9" s="8"/>
      <c r="D9" s="8"/>
      <c r="E9" s="8"/>
      <c r="F9" s="8"/>
      <c r="G9" s="8"/>
      <c r="H9" s="8"/>
      <c r="I9" s="8"/>
      <c r="J9" s="8"/>
      <c r="K9" s="8"/>
    </row>
    <row r="10" spans="1:13" x14ac:dyDescent="0.25">
      <c r="A10" s="6" t="s">
        <v>6</v>
      </c>
      <c r="B10" s="4"/>
      <c r="C10" s="4"/>
      <c r="D10" s="4"/>
      <c r="E10" s="4"/>
      <c r="F10" s="10"/>
      <c r="G10" s="11"/>
      <c r="H10" s="11"/>
      <c r="I10" s="11"/>
      <c r="J10" s="11"/>
      <c r="K10" s="12"/>
    </row>
    <row r="11" spans="1:13" x14ac:dyDescent="0.25">
      <c r="A11" s="2" t="s">
        <v>7</v>
      </c>
      <c r="B11" s="3" t="s">
        <v>8</v>
      </c>
      <c r="C11" s="8"/>
      <c r="D11" s="8"/>
      <c r="E11" s="8"/>
      <c r="F11" s="8"/>
      <c r="G11" s="8"/>
      <c r="H11" s="8"/>
      <c r="I11" s="8"/>
      <c r="J11" s="8"/>
      <c r="K11" s="8"/>
    </row>
    <row r="12" spans="1:13" x14ac:dyDescent="0.25">
      <c r="A12" s="2" t="s">
        <v>9</v>
      </c>
      <c r="B12" s="3">
        <f>MyMDXFunc(B11)</f>
        <v>15199922</v>
      </c>
      <c r="C12" s="8"/>
      <c r="D12" s="8"/>
      <c r="E12" s="8"/>
      <c r="F12" s="8"/>
      <c r="G12" s="8"/>
      <c r="H12" s="8"/>
      <c r="I12" s="8"/>
      <c r="J12" s="8"/>
      <c r="K12" s="8"/>
    </row>
    <row r="13" spans="1:13" x14ac:dyDescent="0.25">
      <c r="A13" s="2" t="s">
        <v>10</v>
      </c>
      <c r="B13" s="3">
        <f>MyMDXFunc2(B11)</f>
        <v>10144562</v>
      </c>
      <c r="C13" s="8"/>
      <c r="D13" s="8"/>
      <c r="E13" s="8"/>
      <c r="F13" s="8"/>
      <c r="G13" s="8"/>
      <c r="H13" s="8"/>
      <c r="I13" s="8"/>
      <c r="J13" s="8"/>
      <c r="K13" s="8"/>
    </row>
    <row r="14" spans="1:13" x14ac:dyDescent="0.25">
      <c r="A14" s="13" t="s">
        <v>11</v>
      </c>
      <c r="B14" s="4"/>
      <c r="C14" s="4"/>
      <c r="D14" s="4"/>
      <c r="E14" s="4"/>
      <c r="F14" s="4"/>
      <c r="G14" s="4"/>
      <c r="H14" s="4"/>
      <c r="I14" s="4"/>
      <c r="J14" s="4"/>
      <c r="K14" s="4"/>
    </row>
    <row r="15" spans="1:13" x14ac:dyDescent="0.25">
      <c r="A15" s="5" t="s">
        <v>12</v>
      </c>
      <c r="B15" s="3"/>
      <c r="C15" s="14" t="s">
        <v>19</v>
      </c>
      <c r="D15" s="8"/>
      <c r="E15" s="8"/>
      <c r="F15" s="8"/>
      <c r="G15" s="8"/>
      <c r="H15" s="8"/>
      <c r="I15" s="8"/>
      <c r="J15" s="8"/>
      <c r="K15" s="8"/>
    </row>
    <row r="16" spans="1:13" x14ac:dyDescent="0.25">
      <c r="A16" s="5" t="s">
        <v>13</v>
      </c>
      <c r="B16" s="3" t="s">
        <v>25</v>
      </c>
      <c r="C16" s="14" t="s">
        <v>19</v>
      </c>
      <c r="D16" s="8"/>
      <c r="E16" s="8"/>
      <c r="F16" s="8"/>
      <c r="G16" s="8"/>
      <c r="H16" s="8"/>
      <c r="I16" s="8"/>
      <c r="J16" s="8"/>
      <c r="K16" s="8"/>
    </row>
    <row r="17" spans="1:11" x14ac:dyDescent="0.25">
      <c r="A17" s="5" t="s">
        <v>14</v>
      </c>
      <c r="B17" s="3">
        <v>4</v>
      </c>
      <c r="C17" s="14" t="s">
        <v>20</v>
      </c>
      <c r="D17" s="8"/>
      <c r="E17" s="8"/>
      <c r="F17" s="8"/>
      <c r="G17" s="8"/>
      <c r="H17" s="8"/>
      <c r="I17" s="8"/>
      <c r="J17" s="8"/>
      <c r="K17" s="8"/>
    </row>
    <row r="18" spans="1:11" x14ac:dyDescent="0.25">
      <c r="A18" s="5" t="s">
        <v>15</v>
      </c>
      <c r="B18" s="3"/>
      <c r="C18" s="14" t="s">
        <v>21</v>
      </c>
      <c r="D18" s="8"/>
      <c r="E18" s="8"/>
      <c r="F18" s="8"/>
      <c r="G18" s="8"/>
      <c r="H18" s="8"/>
      <c r="I18" s="8"/>
      <c r="J18" s="8"/>
      <c r="K18" s="8"/>
    </row>
    <row r="19" spans="1:11" x14ac:dyDescent="0.25">
      <c r="A19" s="5" t="s">
        <v>16</v>
      </c>
      <c r="B19" s="3"/>
      <c r="C19" s="14" t="s">
        <v>22</v>
      </c>
      <c r="D19" s="8"/>
      <c r="E19" s="8"/>
      <c r="F19" s="8"/>
      <c r="G19" s="8"/>
      <c r="H19" s="8"/>
      <c r="I19" s="8"/>
      <c r="J19" s="8"/>
      <c r="K19" s="8"/>
    </row>
    <row r="20" spans="1:11" x14ac:dyDescent="0.25">
      <c r="A20" s="5" t="s">
        <v>17</v>
      </c>
      <c r="B20" s="3"/>
      <c r="C20" s="14" t="s">
        <v>23</v>
      </c>
      <c r="D20" s="8" t="s">
        <v>26</v>
      </c>
      <c r="E20" s="8"/>
      <c r="F20" s="8"/>
      <c r="G20" s="8"/>
      <c r="H20" s="8"/>
      <c r="I20" s="8"/>
      <c r="J20" s="8"/>
      <c r="K20" s="8"/>
    </row>
    <row r="21" spans="1:11" x14ac:dyDescent="0.25">
      <c r="A21" s="5" t="s">
        <v>18</v>
      </c>
      <c r="B21" s="3" t="e">
        <f>MyDMXFunc(B15,B16,B17,B18,B19,B20)</f>
        <v>#VALUE!</v>
      </c>
      <c r="C21" s="14" t="s">
        <v>24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ProstyPrzyklad</vt:lpstr>
    </vt:vector>
  </TitlesOfParts>
  <Company>Wydział Matematyki i Informatyki UAM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Anna Stachowiak</dc:creator>
  <cp:lastModifiedBy>Kamil Owczarek</cp:lastModifiedBy>
  <dcterms:created xsi:type="dcterms:W3CDTF">2020-01-16T10:07:20Z</dcterms:created>
  <dcterms:modified xsi:type="dcterms:W3CDTF">2021-02-10T18:59:31Z</dcterms:modified>
</cp:coreProperties>
</file>